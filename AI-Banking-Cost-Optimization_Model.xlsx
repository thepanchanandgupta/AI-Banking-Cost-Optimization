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\Excel Project\"/>
    </mc:Choice>
  </mc:AlternateContent>
  <xr:revisionPtr revIDLastSave="0" documentId="13_ncr:1_{B5B2668C-01E1-4D54-B41B-B4A3B53FE87F}" xr6:coauthVersionLast="47" xr6:coauthVersionMax="47" xr10:uidLastSave="{00000000-0000-0000-0000-000000000000}"/>
  <bookViews>
    <workbookView xWindow="7812" yWindow="0" windowWidth="15324" windowHeight="12336" tabRatio="830" activeTab="2" xr2:uid="{FF066193-CCC5-4BF5-8422-8BD8413CB44D}"/>
  </bookViews>
  <sheets>
    <sheet name="Assumptions" sheetId="1" r:id="rId1"/>
    <sheet name="Cost Comparison" sheetId="2" r:id="rId2"/>
    <sheet name="Sensitivity Analysis" sheetId="3" r:id="rId3"/>
    <sheet name="Executive Summary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" i="3" l="1"/>
  <c r="B4" i="3"/>
  <c r="B5" i="3"/>
  <c r="B6" i="3"/>
  <c r="B1" i="3"/>
  <c r="B2" i="3"/>
  <c r="E2" i="3"/>
  <c r="C5" i="2"/>
  <c r="C3" i="3" s="1"/>
  <c r="E13" i="2"/>
  <c r="B2" i="1"/>
  <c r="C3" i="2" s="1"/>
  <c r="D3" i="2" s="1"/>
  <c r="E3" i="2" s="1"/>
  <c r="E6" i="2" s="1"/>
  <c r="D5" i="3" l="1"/>
  <c r="C2" i="3"/>
  <c r="C6" i="3"/>
  <c r="C4" i="3"/>
  <c r="E5" i="2"/>
  <c r="E7" i="2" s="1"/>
  <c r="E9" i="2" s="1"/>
  <c r="D6" i="2"/>
  <c r="D4" i="3"/>
  <c r="C5" i="3"/>
  <c r="D5" i="2"/>
  <c r="C6" i="2"/>
  <c r="C7" i="2" s="1"/>
  <c r="D2" i="3"/>
  <c r="D3" i="3"/>
  <c r="E3" i="3" s="1"/>
  <c r="D6" i="3"/>
  <c r="E5" i="3" l="1"/>
  <c r="E6" i="3"/>
  <c r="D7" i="2"/>
  <c r="D9" i="2" s="1"/>
  <c r="E4" i="3"/>
  <c r="C9" i="2" l="1"/>
  <c r="C11" i="2" s="1"/>
  <c r="B15" i="2" s="1"/>
  <c r="C16" i="2"/>
</calcChain>
</file>

<file path=xl/sharedStrings.xml><?xml version="1.0" encoding="utf-8"?>
<sst xmlns="http://schemas.openxmlformats.org/spreadsheetml/2006/main" count="46" uniqueCount="45">
  <si>
    <t>Parameters</t>
  </si>
  <si>
    <t>Value</t>
  </si>
  <si>
    <t>Human Call Cost ($)</t>
  </si>
  <si>
    <t>AI Cost per Interaction ($)</t>
  </si>
  <si>
    <t>Automation Rate (%)</t>
  </si>
  <si>
    <t>Discount Rate (%)</t>
  </si>
  <si>
    <t>Annual Query Growth (%)</t>
  </si>
  <si>
    <t>3-Year Forecast</t>
  </si>
  <si>
    <t>Year 1</t>
  </si>
  <si>
    <t>Year 2</t>
  </si>
  <si>
    <t>Year 3</t>
  </si>
  <si>
    <t>Yearly Queries</t>
  </si>
  <si>
    <t>Annual Queries</t>
  </si>
  <si>
    <t>($ 30 million)</t>
  </si>
  <si>
    <t>Current Annual Cost($)</t>
  </si>
  <si>
    <t>Annaul AI Cost ($)</t>
  </si>
  <si>
    <t>Annual Savings ($)</t>
  </si>
  <si>
    <t>NPV ($)</t>
  </si>
  <si>
    <t>Total NPV ($)</t>
  </si>
  <si>
    <t>Implementation Cost(One-Time) ($)</t>
  </si>
  <si>
    <t>NET NPV</t>
  </si>
  <si>
    <t>($ 25 Million)</t>
  </si>
  <si>
    <t>Payback Period</t>
  </si>
  <si>
    <t>5 months(approx.)</t>
  </si>
  <si>
    <t>Automation %</t>
  </si>
  <si>
    <t>Annual Cost ($)</t>
  </si>
  <si>
    <t>Annual AI Cost ($)</t>
  </si>
  <si>
    <t>Evaluate the financial impact of AI-driven customer service automation in a mid-tier bank.</t>
  </si>
  <si>
    <t>Objective</t>
  </si>
  <si>
    <t>Key Assumptions</t>
  </si>
  <si>
    <t>1. Annual Queries (Year 1): 6,000,000</t>
  </si>
  <si>
    <t>2. Human Cost per Call: $4</t>
  </si>
  <si>
    <t>3. AI Cost per Interaction: $0.8</t>
  </si>
  <si>
    <t>4. Automation Rate (Base Case): 60%</t>
  </si>
  <si>
    <t>5. Discount Rate: 10%</t>
  </si>
  <si>
    <t>Financial Impact (Base Case – 60% Automation)</t>
  </si>
  <si>
    <t>3. Estimated Payback Period: &lt; 1 year (if implementation cost ≤ $10M)</t>
  </si>
  <si>
    <r>
      <t xml:space="preserve">1. Year 1 Cost Reduction: </t>
    </r>
    <r>
      <rPr>
        <b/>
        <i/>
        <sz val="11"/>
        <color theme="1"/>
        <rFont val="Aptos Narrow"/>
        <family val="2"/>
        <scheme val="minor"/>
      </rPr>
      <t>$11.52M</t>
    </r>
  </si>
  <si>
    <r>
      <t xml:space="preserve">2. 3-Year Discounted Savings (NPV): </t>
    </r>
    <r>
      <rPr>
        <b/>
        <i/>
        <sz val="11"/>
        <color theme="1"/>
        <rFont val="Aptos Narrow"/>
        <family val="2"/>
        <scheme val="minor"/>
      </rPr>
      <t>~$30M</t>
    </r>
  </si>
  <si>
    <t>Sensitivity Insight</t>
  </si>
  <si>
    <t>2. Strong operating leverage as automation scales</t>
  </si>
  <si>
    <r>
      <t>1. Every +10% increase in automation generates ~</t>
    </r>
    <r>
      <rPr>
        <b/>
        <i/>
        <sz val="11"/>
        <color theme="1"/>
        <rFont val="Aptos Narrow"/>
        <family val="2"/>
        <scheme val="minor"/>
      </rPr>
      <t>$1.92M additional annual savings</t>
    </r>
  </si>
  <si>
    <t>Strategic Implication</t>
  </si>
  <si>
    <t>AI-driven servicing creates significant cost efficiency while maintaining scalability.  The economics support value-based pricing for AI vendors and strong ROI for mid-tier banks.</t>
  </si>
  <si>
    <t>Even under conservative automation (40%), annual savings remain positive at ~$7.7M, indicating downside protection.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</si>
</sst>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i/>
      <sz val="11"/>
      <color theme="1"/>
      <name val="Aptos Narrow"/>
      <family val="2"/>
      <scheme val="minor"/>
    </font>
    <font>
      <b/>
      <sz val="13.5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b/>
      <i/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6">
    <xf numFmtId="0" fontId="0" fillId="0" borderId="0" xfId="0"/>
    <xf numFmtId="0" fontId="1" fillId="2" borderId="0" xfId="0" applyFont="1" applyFill="1"/>
    <xf numFmtId="10" fontId="0" fillId="0" borderId="0" xfId="0" applyNumberFormat="1"/>
    <xf numFmtId="0" fontId="1" fillId="0" borderId="0" xfId="0" applyFont="1"/>
    <xf numFmtId="1" fontId="0" fillId="0" borderId="0" xfId="0" applyNumberFormat="1"/>
    <xf numFmtId="1" fontId="1" fillId="0" borderId="0" xfId="0" applyNumberFormat="1" applyFont="1"/>
    <xf numFmtId="2" fontId="1" fillId="0" borderId="0" xfId="0" applyNumberFormat="1" applyFont="1"/>
    <xf numFmtId="0" fontId="0" fillId="0" borderId="1" xfId="0" applyBorder="1"/>
    <xf numFmtId="0" fontId="0" fillId="0" borderId="5" xfId="0" applyBorder="1"/>
    <xf numFmtId="1" fontId="0" fillId="0" borderId="7" xfId="0" applyNumberFormat="1" applyBorder="1"/>
    <xf numFmtId="1" fontId="0" fillId="0" borderId="8" xfId="0" applyNumberFormat="1" applyBorder="1"/>
    <xf numFmtId="0" fontId="0" fillId="0" borderId="9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11" xfId="0" applyBorder="1" applyAlignment="1">
      <alignment horizontal="center"/>
    </xf>
    <xf numFmtId="0" fontId="1" fillId="0" borderId="9" xfId="0" applyFont="1" applyBorder="1" applyAlignment="1">
      <alignment horizontal="center"/>
    </xf>
    <xf numFmtId="0" fontId="1" fillId="0" borderId="10" xfId="0" applyFont="1" applyBorder="1" applyAlignment="1">
      <alignment horizontal="center"/>
    </xf>
    <xf numFmtId="0" fontId="1" fillId="0" borderId="11" xfId="0" applyFont="1" applyBorder="1" applyAlignment="1">
      <alignment horizontal="center"/>
    </xf>
    <xf numFmtId="0" fontId="1" fillId="2" borderId="0" xfId="0" applyFont="1" applyFill="1" applyAlignment="1">
      <alignment horizontal="center"/>
    </xf>
    <xf numFmtId="0" fontId="2" fillId="2" borderId="0" xfId="0" applyFont="1" applyFill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2" borderId="6" xfId="0" applyFont="1" applyFill="1" applyBorder="1" applyAlignment="1">
      <alignment horizontal="center"/>
    </xf>
    <xf numFmtId="0" fontId="1" fillId="2" borderId="7" xfId="0" applyFont="1" applyFill="1" applyBorder="1" applyAlignment="1">
      <alignment horizontal="center"/>
    </xf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9" fontId="0" fillId="0" borderId="0" xfId="0" applyNumberFormat="1"/>
    <xf numFmtId="0" fontId="1" fillId="3" borderId="0" xfId="0" applyFont="1" applyFill="1"/>
    <xf numFmtId="0" fontId="0" fillId="0" borderId="0" xfId="0" applyNumberFormat="1"/>
    <xf numFmtId="0" fontId="3" fillId="0" borderId="0" xfId="0" applyFont="1" applyAlignment="1">
      <alignment horizontal="center"/>
    </xf>
    <xf numFmtId="0" fontId="4" fillId="0" borderId="0" xfId="0" applyFont="1" applyAlignment="1">
      <alignment vertical="center"/>
    </xf>
    <xf numFmtId="0" fontId="0" fillId="0" borderId="0" xfId="0" applyAlignment="1">
      <alignment horizontal="left" vertical="center" indent="1"/>
    </xf>
    <xf numFmtId="0" fontId="5" fillId="0" borderId="0" xfId="0" applyFont="1" applyAlignment="1">
      <alignment horizontal="left"/>
    </xf>
    <xf numFmtId="0" fontId="4" fillId="0" borderId="0" xfId="0" applyFont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3" fillId="0" borderId="0" xfId="0" applyFont="1"/>
    <xf numFmtId="0" fontId="3" fillId="0" borderId="0" xfId="0" applyFont="1" applyAlignment="1">
      <alignment vertical="center"/>
    </xf>
    <xf numFmtId="0" fontId="3" fillId="0" borderId="0" xfId="0" applyFont="1" applyAlignment="1"/>
    <xf numFmtId="0" fontId="3" fillId="0" borderId="0" xfId="0" applyFont="1" applyAlignment="1">
      <alignment horizontal="center"/>
    </xf>
    <xf numFmtId="0" fontId="3" fillId="0" borderId="0" xfId="0" applyFont="1" applyAlignment="1">
      <alignment horizontal="left" vertical="center"/>
    </xf>
    <xf numFmtId="0" fontId="5" fillId="0" borderId="0" xfId="0" applyFont="1" applyAlignment="1">
      <alignment horizontal="left" vertical="center"/>
    </xf>
    <xf numFmtId="0" fontId="3" fillId="0" borderId="0" xfId="0" applyFont="1" applyAlignment="1">
      <alignment horizontal="left" vertical="center" wrapText="1"/>
    </xf>
    <xf numFmtId="0" fontId="1" fillId="0" borderId="0" xfId="0" applyFont="1" applyAlignment="1">
      <alignment horizontal="left" vertical="center" indent="1"/>
    </xf>
    <xf numFmtId="0" fontId="1" fillId="2" borderId="12" xfId="0" applyFont="1" applyFill="1" applyBorder="1" applyAlignment="1">
      <alignment horizontal="center"/>
    </xf>
    <xf numFmtId="0" fontId="1" fillId="2" borderId="0" xfId="0" applyFont="1" applyFill="1" applyBorder="1" applyAlignment="1">
      <alignment horizontal="center"/>
    </xf>
    <xf numFmtId="0" fontId="0" fillId="2" borderId="13" xfId="0" applyFill="1" applyBorder="1" applyAlignment="1">
      <alignment horizontal="center"/>
    </xf>
    <xf numFmtId="0" fontId="0" fillId="2" borderId="14" xfId="0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826661-E289-49A2-AF85-E64E2906BE84}">
  <dimension ref="A1:B7"/>
  <sheetViews>
    <sheetView workbookViewId="0">
      <selection activeCell="B3" sqref="B3"/>
    </sheetView>
  </sheetViews>
  <sheetFormatPr defaultRowHeight="14.4" x14ac:dyDescent="0.3"/>
  <cols>
    <col min="1" max="1" width="21.33203125" bestFit="1" customWidth="1"/>
    <col min="2" max="2" width="9.109375" bestFit="1" customWidth="1"/>
  </cols>
  <sheetData>
    <row r="1" spans="1:2" x14ac:dyDescent="0.3">
      <c r="A1" s="1" t="s">
        <v>0</v>
      </c>
      <c r="B1" s="1" t="s">
        <v>1</v>
      </c>
    </row>
    <row r="2" spans="1:2" x14ac:dyDescent="0.3">
      <c r="A2" t="s">
        <v>12</v>
      </c>
      <c r="B2">
        <f>500000*12</f>
        <v>6000000</v>
      </c>
    </row>
    <row r="3" spans="1:2" x14ac:dyDescent="0.3">
      <c r="A3" t="s">
        <v>2</v>
      </c>
      <c r="B3">
        <v>4</v>
      </c>
    </row>
    <row r="4" spans="1:2" x14ac:dyDescent="0.3">
      <c r="A4" t="s">
        <v>3</v>
      </c>
      <c r="B4">
        <v>0.8</v>
      </c>
    </row>
    <row r="5" spans="1:2" x14ac:dyDescent="0.3">
      <c r="A5" t="s">
        <v>4</v>
      </c>
      <c r="B5" s="2">
        <v>0.6</v>
      </c>
    </row>
    <row r="6" spans="1:2" x14ac:dyDescent="0.3">
      <c r="A6" t="s">
        <v>5</v>
      </c>
      <c r="B6" s="2">
        <v>0.1</v>
      </c>
    </row>
    <row r="7" spans="1:2" x14ac:dyDescent="0.3">
      <c r="A7" t="s">
        <v>6</v>
      </c>
      <c r="B7" s="2">
        <v>0.05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884D79-5A3F-4BC0-89E7-F898A3BD1D12}">
  <dimension ref="A1:E16"/>
  <sheetViews>
    <sheetView workbookViewId="0">
      <selection activeCell="D22" sqref="D22"/>
    </sheetView>
  </sheetViews>
  <sheetFormatPr defaultRowHeight="14.4" x14ac:dyDescent="0.3"/>
  <cols>
    <col min="2" max="3" width="9" bestFit="1" customWidth="1"/>
    <col min="4" max="4" width="12" bestFit="1" customWidth="1"/>
    <col min="5" max="5" width="11" bestFit="1" customWidth="1"/>
  </cols>
  <sheetData>
    <row r="1" spans="1:5" ht="15" thickBot="1" x14ac:dyDescent="0.35">
      <c r="A1" s="42" t="s">
        <v>7</v>
      </c>
      <c r="B1" s="43"/>
    </row>
    <row r="2" spans="1:5" x14ac:dyDescent="0.3">
      <c r="A2" s="44"/>
      <c r="B2" s="45"/>
      <c r="C2" s="23" t="s">
        <v>8</v>
      </c>
      <c r="D2" s="23" t="s">
        <v>9</v>
      </c>
      <c r="E2" s="24" t="s">
        <v>10</v>
      </c>
    </row>
    <row r="3" spans="1:5" x14ac:dyDescent="0.3">
      <c r="A3" s="19" t="s">
        <v>11</v>
      </c>
      <c r="B3" s="20"/>
      <c r="C3" s="7">
        <f xml:space="preserve"> Assumptions!B2</f>
        <v>6000000</v>
      </c>
      <c r="D3" s="7">
        <f>C3*(1+Assumptions!B7)</f>
        <v>6300000</v>
      </c>
      <c r="E3" s="8">
        <f>D3*(1+Assumptions!B7)</f>
        <v>6615000</v>
      </c>
    </row>
    <row r="4" spans="1:5" x14ac:dyDescent="0.3">
      <c r="A4" s="14"/>
      <c r="B4" s="15"/>
      <c r="C4" s="15"/>
      <c r="D4" s="15"/>
      <c r="E4" s="16"/>
    </row>
    <row r="5" spans="1:5" x14ac:dyDescent="0.3">
      <c r="A5" s="19" t="s">
        <v>14</v>
      </c>
      <c r="B5" s="20"/>
      <c r="C5" s="7">
        <f>Assumptions!B2*Assumptions!B3</f>
        <v>24000000</v>
      </c>
      <c r="D5" s="7">
        <f>D3*Assumptions!B3</f>
        <v>25200000</v>
      </c>
      <c r="E5" s="8">
        <f>E3*Assumptions!B3</f>
        <v>26460000</v>
      </c>
    </row>
    <row r="6" spans="1:5" x14ac:dyDescent="0.3">
      <c r="A6" s="19" t="s">
        <v>15</v>
      </c>
      <c r="B6" s="20"/>
      <c r="C6" s="7">
        <f>Assumptions!B5*Assumptions!B4*C3+Assumptions!B3*C3*(1-Assumptions!B5)</f>
        <v>12480000</v>
      </c>
      <c r="D6" s="7">
        <f>Assumptions!B5*Assumptions!B4*'Cost Comparison'!D3+Assumptions!B3*'Cost Comparison'!D3*(1-Assumptions!B5)</f>
        <v>13104000</v>
      </c>
      <c r="E6" s="8">
        <f>Assumptions!B5*Assumptions!B4*'Cost Comparison'!E3+Assumptions!B3*'Cost Comparison'!E3*(1-Assumptions!B5)</f>
        <v>13759200</v>
      </c>
    </row>
    <row r="7" spans="1:5" x14ac:dyDescent="0.3">
      <c r="A7" s="19" t="s">
        <v>16</v>
      </c>
      <c r="B7" s="20"/>
      <c r="C7" s="7">
        <f>C5-C6</f>
        <v>11520000</v>
      </c>
      <c r="D7" s="7">
        <f>D5-D6</f>
        <v>12096000</v>
      </c>
      <c r="E7" s="8">
        <f>E5-E6</f>
        <v>12700800</v>
      </c>
    </row>
    <row r="8" spans="1:5" x14ac:dyDescent="0.3">
      <c r="A8" s="11"/>
      <c r="B8" s="12"/>
      <c r="C8" s="12"/>
      <c r="D8" s="12"/>
      <c r="E8" s="13"/>
    </row>
    <row r="9" spans="1:5" ht="15" thickBot="1" x14ac:dyDescent="0.35">
      <c r="A9" s="21" t="s">
        <v>17</v>
      </c>
      <c r="B9" s="22"/>
      <c r="C9" s="9">
        <f>C7/(1+Assumptions!B6)^1</f>
        <v>10472727.272727272</v>
      </c>
      <c r="D9" s="9">
        <f>D7/(1+Assumptions!B6)^2</f>
        <v>9996694.2148760315</v>
      </c>
      <c r="E9" s="10">
        <f>E7/(1+Assumptions!B6)^3</f>
        <v>9542299.0232907552</v>
      </c>
    </row>
    <row r="11" spans="1:5" ht="15.6" x14ac:dyDescent="0.3">
      <c r="A11" s="18" t="s">
        <v>18</v>
      </c>
      <c r="B11" s="18"/>
      <c r="C11" s="4">
        <f>SUM(C9:E9)</f>
        <v>30011720.51089406</v>
      </c>
      <c r="D11" s="3" t="s">
        <v>13</v>
      </c>
    </row>
    <row r="13" spans="1:5" x14ac:dyDescent="0.3">
      <c r="A13" s="17" t="s">
        <v>19</v>
      </c>
      <c r="B13" s="17"/>
      <c r="C13" s="17"/>
      <c r="D13" s="17"/>
      <c r="E13">
        <f>5000000</f>
        <v>5000000</v>
      </c>
    </row>
    <row r="15" spans="1:5" x14ac:dyDescent="0.3">
      <c r="A15" s="1" t="s">
        <v>20</v>
      </c>
      <c r="B15" s="5">
        <f>C11-E13</f>
        <v>25011720.51089406</v>
      </c>
      <c r="C15" s="3" t="s">
        <v>21</v>
      </c>
    </row>
    <row r="16" spans="1:5" x14ac:dyDescent="0.3">
      <c r="A16" s="17" t="s">
        <v>22</v>
      </c>
      <c r="B16" s="17"/>
      <c r="C16" s="6">
        <f>E13/C7</f>
        <v>0.43402777777777779</v>
      </c>
      <c r="D16" s="3" t="s">
        <v>23</v>
      </c>
    </row>
  </sheetData>
  <mergeCells count="12">
    <mergeCell ref="A1:B1"/>
    <mergeCell ref="A2:B2"/>
    <mergeCell ref="A3:B3"/>
    <mergeCell ref="A9:B9"/>
    <mergeCell ref="A11:B11"/>
    <mergeCell ref="A13:D13"/>
    <mergeCell ref="A16:B16"/>
    <mergeCell ref="A8:E8"/>
    <mergeCell ref="A4:E4"/>
    <mergeCell ref="A5:B5"/>
    <mergeCell ref="A6:B6"/>
    <mergeCell ref="A7:B7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35B9F6-8B94-4F1F-B791-B91BE41A10B4}">
  <dimension ref="A1:E6"/>
  <sheetViews>
    <sheetView tabSelected="1" workbookViewId="0">
      <selection activeCell="K5" sqref="K5"/>
    </sheetView>
  </sheetViews>
  <sheetFormatPr defaultRowHeight="14.4" x14ac:dyDescent="0.3"/>
  <cols>
    <col min="1" max="1" width="12.109375" bestFit="1" customWidth="1"/>
    <col min="2" max="2" width="12.109375" customWidth="1"/>
    <col min="3" max="3" width="12.5546875" bestFit="1" customWidth="1"/>
    <col min="4" max="4" width="15.5546875" bestFit="1" customWidth="1"/>
    <col min="5" max="5" width="12.88671875" bestFit="1" customWidth="1"/>
    <col min="6" max="6" width="11" bestFit="1" customWidth="1"/>
  </cols>
  <sheetData>
    <row r="1" spans="1:5" x14ac:dyDescent="0.3">
      <c r="A1" s="26" t="s">
        <v>24</v>
      </c>
      <c r="B1" s="26" t="str">
        <f>E1</f>
        <v>Annual Savings ($)</v>
      </c>
      <c r="C1" s="26" t="s">
        <v>25</v>
      </c>
      <c r="D1" s="26" t="s">
        <v>26</v>
      </c>
      <c r="E1" s="26" t="s">
        <v>16</v>
      </c>
    </row>
    <row r="2" spans="1:5" x14ac:dyDescent="0.3">
      <c r="A2" s="25">
        <v>0.4</v>
      </c>
      <c r="B2">
        <f>E2</f>
        <v>7680000</v>
      </c>
      <c r="C2" s="27">
        <f>'Cost Comparison'!$C$5</f>
        <v>24000000</v>
      </c>
      <c r="D2" s="27">
        <f>A2*Assumptions!B4*'Cost Comparison'!C3+Assumptions!B3*'Cost Comparison'!C3*(1-A2)</f>
        <v>16320000</v>
      </c>
      <c r="E2">
        <f>C2-D2</f>
        <v>7680000</v>
      </c>
    </row>
    <row r="3" spans="1:5" x14ac:dyDescent="0.3">
      <c r="A3" s="25">
        <v>0.5</v>
      </c>
      <c r="B3">
        <f t="shared" ref="B3:B6" si="0">E3</f>
        <v>9600000</v>
      </c>
      <c r="C3" s="27">
        <f>'Cost Comparison'!$C$5</f>
        <v>24000000</v>
      </c>
      <c r="D3" s="27">
        <f>A3*Assumptions!B4*'Cost Comparison'!C3+Assumptions!B3*'Cost Comparison'!C3*(1-A3)</f>
        <v>14400000</v>
      </c>
      <c r="E3">
        <f t="shared" ref="E3:E6" si="1">C3-D3</f>
        <v>9600000</v>
      </c>
    </row>
    <row r="4" spans="1:5" x14ac:dyDescent="0.3">
      <c r="A4" s="25">
        <v>0.6</v>
      </c>
      <c r="B4">
        <f t="shared" si="0"/>
        <v>11520000</v>
      </c>
      <c r="C4" s="27">
        <f>'Cost Comparison'!$C$5</f>
        <v>24000000</v>
      </c>
      <c r="D4" s="27">
        <f>A4*Assumptions!B4*'Cost Comparison'!C3+Assumptions!B3*'Cost Comparison'!C3*(1-A4)</f>
        <v>12480000</v>
      </c>
      <c r="E4">
        <f t="shared" si="1"/>
        <v>11520000</v>
      </c>
    </row>
    <row r="5" spans="1:5" x14ac:dyDescent="0.3">
      <c r="A5" s="25">
        <v>0.7</v>
      </c>
      <c r="B5">
        <f t="shared" si="0"/>
        <v>13440000</v>
      </c>
      <c r="C5" s="27">
        <f>'Cost Comparison'!$C$5</f>
        <v>24000000</v>
      </c>
      <c r="D5" s="27">
        <f>A5*Assumptions!B4*'Cost Comparison'!C3+Assumptions!B3*'Cost Comparison'!C3*(1-A5)</f>
        <v>10560000</v>
      </c>
      <c r="E5">
        <f t="shared" si="1"/>
        <v>13440000</v>
      </c>
    </row>
    <row r="6" spans="1:5" x14ac:dyDescent="0.3">
      <c r="A6" s="25">
        <v>0.8</v>
      </c>
      <c r="B6">
        <f t="shared" si="0"/>
        <v>15360000</v>
      </c>
      <c r="C6" s="27">
        <f>'Cost Comparison'!$C$5</f>
        <v>24000000</v>
      </c>
      <c r="D6" s="27">
        <f>A6*Assumptions!B4*'Cost Comparison'!C3+Assumptions!B3*'Cost Comparison'!C3*(1-A6)</f>
        <v>8640000</v>
      </c>
      <c r="E6">
        <f t="shared" si="1"/>
        <v>15360000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454AA6-D030-488A-BDFB-8CA097FEE4BA}">
  <dimension ref="A1:H33"/>
  <sheetViews>
    <sheetView topLeftCell="A19" workbookViewId="0">
      <selection activeCell="M34" sqref="M34"/>
    </sheetView>
  </sheetViews>
  <sheetFormatPr defaultRowHeight="14.4" x14ac:dyDescent="0.3"/>
  <sheetData>
    <row r="1" spans="1:8" ht="18" x14ac:dyDescent="0.35">
      <c r="A1" s="31" t="s">
        <v>28</v>
      </c>
      <c r="B1" s="31"/>
    </row>
    <row r="2" spans="1:8" x14ac:dyDescent="0.3">
      <c r="A2" s="28" t="s">
        <v>27</v>
      </c>
      <c r="B2" s="28"/>
      <c r="C2" s="28"/>
      <c r="D2" s="28"/>
      <c r="E2" s="28"/>
      <c r="F2" s="28"/>
      <c r="G2" s="28"/>
      <c r="H2" s="28"/>
    </row>
    <row r="3" spans="1:8" x14ac:dyDescent="0.3">
      <c r="A3" s="37"/>
      <c r="B3" s="37"/>
      <c r="C3" s="37"/>
      <c r="D3" s="37"/>
      <c r="E3" s="37"/>
      <c r="F3" s="37"/>
      <c r="G3" s="37"/>
      <c r="H3" s="37"/>
    </row>
    <row r="5" spans="1:8" ht="18" x14ac:dyDescent="0.3">
      <c r="A5" s="32" t="s">
        <v>29</v>
      </c>
      <c r="B5" s="32"/>
      <c r="C5" s="32"/>
    </row>
    <row r="6" spans="1:8" x14ac:dyDescent="0.3">
      <c r="A6" s="30"/>
    </row>
    <row r="7" spans="1:8" x14ac:dyDescent="0.3">
      <c r="A7" s="33" t="s">
        <v>30</v>
      </c>
      <c r="B7" s="33"/>
      <c r="C7" s="33"/>
      <c r="D7" s="33"/>
    </row>
    <row r="8" spans="1:8" x14ac:dyDescent="0.3">
      <c r="A8" s="33" t="s">
        <v>31</v>
      </c>
      <c r="B8" s="33"/>
      <c r="C8" s="33"/>
      <c r="D8" s="33"/>
    </row>
    <row r="9" spans="1:8" x14ac:dyDescent="0.3">
      <c r="A9" s="33" t="s">
        <v>32</v>
      </c>
      <c r="B9" s="33"/>
      <c r="C9" s="33"/>
      <c r="D9" s="34"/>
    </row>
    <row r="10" spans="1:8" x14ac:dyDescent="0.3">
      <c r="A10" s="35" t="s">
        <v>33</v>
      </c>
      <c r="B10" s="36"/>
      <c r="C10" s="36"/>
      <c r="D10" s="36"/>
    </row>
    <row r="11" spans="1:8" x14ac:dyDescent="0.3">
      <c r="A11" s="33" t="s">
        <v>34</v>
      </c>
      <c r="B11" s="33"/>
      <c r="C11" s="33"/>
      <c r="D11" s="34"/>
    </row>
    <row r="12" spans="1:8" x14ac:dyDescent="0.3">
      <c r="A12" s="38"/>
      <c r="B12" s="38"/>
      <c r="C12" s="38"/>
      <c r="D12" s="34"/>
    </row>
    <row r="14" spans="1:8" ht="18" x14ac:dyDescent="0.35">
      <c r="A14" s="31" t="s">
        <v>35</v>
      </c>
      <c r="B14" s="31"/>
      <c r="C14" s="31"/>
      <c r="D14" s="31"/>
      <c r="E14" s="31"/>
      <c r="F14" s="31"/>
    </row>
    <row r="16" spans="1:8" x14ac:dyDescent="0.3">
      <c r="A16" s="33" t="s">
        <v>37</v>
      </c>
      <c r="B16" s="33"/>
      <c r="C16" s="33"/>
      <c r="D16" s="33"/>
      <c r="E16" s="34"/>
      <c r="F16" s="34"/>
    </row>
    <row r="17" spans="1:8" x14ac:dyDescent="0.3">
      <c r="A17" s="33" t="s">
        <v>38</v>
      </c>
      <c r="B17" s="33"/>
      <c r="C17" s="33"/>
      <c r="D17" s="33"/>
      <c r="E17" s="34"/>
      <c r="F17" s="34"/>
    </row>
    <row r="18" spans="1:8" x14ac:dyDescent="0.3">
      <c r="A18" s="33" t="s">
        <v>36</v>
      </c>
      <c r="B18" s="33"/>
      <c r="C18" s="33"/>
      <c r="D18" s="33"/>
      <c r="E18" s="33"/>
      <c r="F18" s="33"/>
      <c r="G18" s="33"/>
    </row>
    <row r="21" spans="1:8" ht="18" x14ac:dyDescent="0.3">
      <c r="A21" s="29" t="s">
        <v>39</v>
      </c>
    </row>
    <row r="22" spans="1:8" x14ac:dyDescent="0.3">
      <c r="A22" s="33" t="s">
        <v>41</v>
      </c>
      <c r="B22" s="33"/>
      <c r="C22" s="33"/>
      <c r="D22" s="33"/>
      <c r="E22" s="33"/>
      <c r="F22" s="33"/>
      <c r="G22" s="33"/>
      <c r="H22" s="33"/>
    </row>
    <row r="23" spans="1:8" x14ac:dyDescent="0.3">
      <c r="A23" s="33" t="s">
        <v>40</v>
      </c>
      <c r="B23" s="33"/>
      <c r="C23" s="33"/>
      <c r="D23" s="33"/>
      <c r="E23" s="33"/>
    </row>
    <row r="26" spans="1:8" ht="18" x14ac:dyDescent="0.3">
      <c r="A26" s="39" t="s">
        <v>42</v>
      </c>
      <c r="B26" s="39"/>
      <c r="C26" s="39"/>
    </row>
    <row r="28" spans="1:8" ht="14.4" customHeight="1" x14ac:dyDescent="0.3">
      <c r="A28" s="40" t="s">
        <v>43</v>
      </c>
      <c r="B28" s="40"/>
      <c r="C28" s="40"/>
      <c r="D28" s="40"/>
      <c r="E28" s="40"/>
      <c r="F28" s="40"/>
      <c r="G28" s="40"/>
      <c r="H28" s="40"/>
    </row>
    <row r="29" spans="1:8" ht="14.4" customHeight="1" x14ac:dyDescent="0.3">
      <c r="A29" s="40"/>
      <c r="B29" s="40"/>
      <c r="C29" s="40"/>
      <c r="D29" s="40"/>
      <c r="E29" s="40"/>
      <c r="F29" s="40"/>
      <c r="G29" s="40"/>
      <c r="H29" s="40"/>
    </row>
    <row r="30" spans="1:8" x14ac:dyDescent="0.3">
      <c r="A30" s="40"/>
      <c r="B30" s="40"/>
      <c r="C30" s="40"/>
      <c r="D30" s="40"/>
      <c r="E30" s="40"/>
      <c r="F30" s="40"/>
      <c r="G30" s="40"/>
      <c r="H30" s="40"/>
    </row>
    <row r="33" spans="1:1" x14ac:dyDescent="0.3">
      <c r="A33" s="41" t="s">
        <v>44</v>
      </c>
    </row>
  </sheetData>
  <mergeCells count="15">
    <mergeCell ref="A23:E23"/>
    <mergeCell ref="A26:C26"/>
    <mergeCell ref="A28:H30"/>
    <mergeCell ref="A11:C11"/>
    <mergeCell ref="A14:F14"/>
    <mergeCell ref="A16:D16"/>
    <mergeCell ref="A17:D17"/>
    <mergeCell ref="A18:G18"/>
    <mergeCell ref="A22:H22"/>
    <mergeCell ref="A2:H2"/>
    <mergeCell ref="A1:B1"/>
    <mergeCell ref="A5:C5"/>
    <mergeCell ref="A7:D7"/>
    <mergeCell ref="A8:D8"/>
    <mergeCell ref="A9:C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Assumptions</vt:lpstr>
      <vt:lpstr>Cost Comparison</vt:lpstr>
      <vt:lpstr>Sensitivity Analysis</vt:lpstr>
      <vt:lpstr>Executive Summary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Panchanand Gupta</dc:creator>
  <cp:lastModifiedBy>Panchanand Gupta</cp:lastModifiedBy>
  <dcterms:created xsi:type="dcterms:W3CDTF">2026-02-20T08:27:38Z</dcterms:created>
  <dcterms:modified xsi:type="dcterms:W3CDTF">2026-02-20T10:16:03Z</dcterms:modified>
</cp:coreProperties>
</file>